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las\Documents\ASADO\"/>
    </mc:Choice>
  </mc:AlternateContent>
  <xr:revisionPtr revIDLastSave="0" documentId="13_ncr:1_{198D7964-A06E-4031-8DCB-3538216822B3}" xr6:coauthVersionLast="47" xr6:coauthVersionMax="47" xr10:uidLastSave="{00000000-0000-0000-0000-000000000000}"/>
  <bookViews>
    <workbookView xWindow="-120" yWindow="-120" windowWidth="29040" windowHeight="15720" xr2:uid="{96931632-A6EC-46C7-96F6-4473039E9B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9" i="1"/>
  <c r="I8" i="1"/>
  <c r="I7" i="1"/>
  <c r="I6" i="1"/>
  <c r="I5" i="1"/>
  <c r="I4" i="1"/>
  <c r="I11" i="1" l="1"/>
  <c r="I12" i="1" s="1"/>
  <c r="I13" i="1" s="1"/>
</calcChain>
</file>

<file path=xl/sharedStrings.xml><?xml version="1.0" encoding="utf-8"?>
<sst xmlns="http://schemas.openxmlformats.org/spreadsheetml/2006/main" count="42" uniqueCount="42">
  <si>
    <t>RES lb</t>
  </si>
  <si>
    <t>Papa</t>
  </si>
  <si>
    <t>barril</t>
  </si>
  <si>
    <t>carbon</t>
  </si>
  <si>
    <t>iniciador</t>
  </si>
  <si>
    <t>utencilios</t>
  </si>
  <si>
    <t>chorizos</t>
  </si>
  <si>
    <t>platano maduro</t>
  </si>
  <si>
    <t>morcilla</t>
  </si>
  <si>
    <t>tomate</t>
  </si>
  <si>
    <t>cebolla</t>
  </si>
  <si>
    <t>cilantro</t>
  </si>
  <si>
    <t>aji</t>
  </si>
  <si>
    <t>pimienta</t>
  </si>
  <si>
    <t>sal</t>
  </si>
  <si>
    <t>limon</t>
  </si>
  <si>
    <t>aguacate</t>
  </si>
  <si>
    <t>bolsas de basura</t>
  </si>
  <si>
    <t>vasos</t>
  </si>
  <si>
    <t>plastos</t>
  </si>
  <si>
    <t>servilletas</t>
  </si>
  <si>
    <t>jabon axion</t>
  </si>
  <si>
    <t>esponjillas</t>
  </si>
  <si>
    <t>ollas</t>
  </si>
  <si>
    <t>tabla</t>
  </si>
  <si>
    <t>cuchillo</t>
  </si>
  <si>
    <t>pinzas</t>
  </si>
  <si>
    <t>piña</t>
  </si>
  <si>
    <t>botella agua 250ml</t>
  </si>
  <si>
    <t>suero y cilantro</t>
  </si>
  <si>
    <t>pax</t>
  </si>
  <si>
    <t>costo</t>
  </si>
  <si>
    <t>CERDO PANCETA LB</t>
  </si>
  <si>
    <t>Gramos X Pax</t>
  </si>
  <si>
    <t xml:space="preserve">costo total </t>
  </si>
  <si>
    <t>TOTAL</t>
  </si>
  <si>
    <t>PLATO POR PAX</t>
  </si>
  <si>
    <t>USD</t>
  </si>
  <si>
    <t>cerveza x 6</t>
  </si>
  <si>
    <t>gaseosa lt x 4</t>
  </si>
  <si>
    <t>guacamole</t>
  </si>
  <si>
    <t>Bebidas y plastico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</si>
</sst>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C88E-8129-4413-A01F-EB3B10F2B420}">
  <dimension ref="E3:L37"/>
  <sheetViews>
    <sheetView tabSelected="1" topLeftCell="A7" zoomScale="150" zoomScaleNormal="150" workbookViewId="0">
      <selection activeCell="J23" sqref="J23"/>
    </sheetView>
  </sheetViews>
  <sheetFormatPr baseColWidth="10" defaultRowHeight="15" x14ac:dyDescent="0.25"/>
  <cols>
    <col min="5" max="5" width="18.42578125" customWidth="1"/>
    <col min="6" max="6" width="13.140625" bestFit="1" customWidth="1"/>
    <col min="8" max="8" width="10.85546875" customWidth="1"/>
    <col min="9" max="9" width="16.85546875" customWidth="1"/>
    <col min="12" max="12" width="14.42578125" customWidth="1"/>
    <col min="13" max="13" width="13.85546875" customWidth="1"/>
  </cols>
  <sheetData>
    <row r="3" spans="5:12" x14ac:dyDescent="0.25">
      <c r="E3" s="1"/>
      <c r="F3" s="2" t="s">
        <v>33</v>
      </c>
      <c r="G3" s="2" t="s">
        <v>31</v>
      </c>
      <c r="H3" s="2" t="s">
        <v>30</v>
      </c>
      <c r="I3" s="2" t="s">
        <v>34</v>
      </c>
    </row>
    <row r="4" spans="5:12" x14ac:dyDescent="0.25">
      <c r="E4" s="1" t="s">
        <v>8</v>
      </c>
      <c r="F4" s="2">
        <v>50</v>
      </c>
      <c r="G4" s="2">
        <v>2000</v>
      </c>
      <c r="H4" s="2">
        <v>60</v>
      </c>
      <c r="I4" s="3">
        <f>H4*G4</f>
        <v>120000</v>
      </c>
    </row>
    <row r="5" spans="5:12" x14ac:dyDescent="0.25">
      <c r="E5" s="1" t="s">
        <v>6</v>
      </c>
      <c r="F5" s="2">
        <v>50</v>
      </c>
      <c r="G5" s="2">
        <v>2000</v>
      </c>
      <c r="H5" s="2">
        <v>60</v>
      </c>
      <c r="I5" s="3">
        <f>H5*G5</f>
        <v>120000</v>
      </c>
    </row>
    <row r="6" spans="5:12" x14ac:dyDescent="0.25">
      <c r="E6" s="1" t="s">
        <v>0</v>
      </c>
      <c r="F6" s="2">
        <v>150</v>
      </c>
      <c r="G6" s="2">
        <v>23000</v>
      </c>
      <c r="H6" s="2">
        <v>60</v>
      </c>
      <c r="I6" s="3">
        <f>(H6*F6*G6)/200</f>
        <v>1035000</v>
      </c>
    </row>
    <row r="7" spans="5:12" x14ac:dyDescent="0.25">
      <c r="E7" s="1" t="s">
        <v>32</v>
      </c>
      <c r="F7" s="2">
        <v>150</v>
      </c>
      <c r="G7" s="2">
        <v>15000</v>
      </c>
      <c r="H7" s="2">
        <v>60</v>
      </c>
      <c r="I7" s="3">
        <f>(H7*F7*G7)/200</f>
        <v>675000</v>
      </c>
    </row>
    <row r="8" spans="5:12" x14ac:dyDescent="0.25">
      <c r="E8" s="1" t="s">
        <v>1</v>
      </c>
      <c r="F8" s="2">
        <v>3</v>
      </c>
      <c r="G8" s="2">
        <v>2000</v>
      </c>
      <c r="H8" s="2">
        <v>60</v>
      </c>
      <c r="I8" s="3">
        <f>H8*G8</f>
        <v>120000</v>
      </c>
    </row>
    <row r="9" spans="5:12" x14ac:dyDescent="0.25">
      <c r="E9" s="1" t="s">
        <v>7</v>
      </c>
      <c r="F9" s="2">
        <v>1</v>
      </c>
      <c r="G9" s="2">
        <v>5000</v>
      </c>
      <c r="H9" s="2">
        <v>60</v>
      </c>
      <c r="I9" s="3">
        <f>H9*G9/2</f>
        <v>150000</v>
      </c>
    </row>
    <row r="10" spans="5:12" x14ac:dyDescent="0.25">
      <c r="E10" s="1" t="s">
        <v>27</v>
      </c>
      <c r="F10" s="2">
        <v>4</v>
      </c>
      <c r="G10" s="2">
        <v>30000</v>
      </c>
      <c r="H10" s="2"/>
      <c r="I10" s="3">
        <f>G10</f>
        <v>30000</v>
      </c>
    </row>
    <row r="11" spans="5:12" x14ac:dyDescent="0.25">
      <c r="E11" s="4" t="s">
        <v>35</v>
      </c>
      <c r="F11" s="4"/>
      <c r="G11" s="4"/>
      <c r="H11" s="4"/>
      <c r="I11" s="3">
        <f>SUM(I4:I10)</f>
        <v>2250000</v>
      </c>
    </row>
    <row r="12" spans="5:12" x14ac:dyDescent="0.25">
      <c r="E12" s="4" t="s">
        <v>36</v>
      </c>
      <c r="F12" s="4"/>
      <c r="G12" s="4"/>
      <c r="H12" s="4"/>
      <c r="I12" s="3">
        <f>I11/60</f>
        <v>37500</v>
      </c>
    </row>
    <row r="13" spans="5:12" x14ac:dyDescent="0.25">
      <c r="E13" s="4" t="s">
        <v>37</v>
      </c>
      <c r="F13" s="4"/>
      <c r="G13" s="4"/>
      <c r="H13" s="4"/>
      <c r="I13" s="3">
        <f>I12/3700</f>
        <v>10.135135135135135</v>
      </c>
    </row>
    <row r="16" spans="5:12" x14ac:dyDescent="0.25">
      <c r="E16" s="4" t="s">
        <v>41</v>
      </c>
      <c r="F16" s="4"/>
      <c r="G16" s="4"/>
      <c r="H16" s="4"/>
      <c r="K16" s="4" t="s">
        <v>40</v>
      </c>
      <c r="L16" s="4"/>
    </row>
    <row r="17" spans="5:12" x14ac:dyDescent="0.25">
      <c r="E17" s="1" t="s">
        <v>38</v>
      </c>
      <c r="F17" s="1">
        <v>10000</v>
      </c>
      <c r="G17" s="1"/>
      <c r="H17" s="1"/>
      <c r="K17" s="1" t="s">
        <v>16</v>
      </c>
      <c r="L17" s="1">
        <v>5000</v>
      </c>
    </row>
    <row r="18" spans="5:12" x14ac:dyDescent="0.25">
      <c r="E18" s="1" t="s">
        <v>39</v>
      </c>
      <c r="F18" s="1">
        <v>26000</v>
      </c>
      <c r="G18" s="1"/>
      <c r="H18" s="1"/>
      <c r="K18" s="1" t="s">
        <v>9</v>
      </c>
      <c r="L18" s="1">
        <v>2000</v>
      </c>
    </row>
    <row r="19" spans="5:12" x14ac:dyDescent="0.25">
      <c r="E19" s="1" t="s">
        <v>28</v>
      </c>
      <c r="F19" s="1">
        <v>20000</v>
      </c>
      <c r="G19" s="1"/>
      <c r="H19" s="1"/>
      <c r="K19" s="1" t="s">
        <v>10</v>
      </c>
      <c r="L19" s="1">
        <v>2000</v>
      </c>
    </row>
    <row r="20" spans="5:12" x14ac:dyDescent="0.25">
      <c r="E20" s="1"/>
      <c r="F20" s="1"/>
      <c r="G20" s="1"/>
      <c r="H20" s="1"/>
      <c r="K20" s="1" t="s">
        <v>11</v>
      </c>
      <c r="L20" s="1">
        <v>2000</v>
      </c>
    </row>
    <row r="21" spans="5:12" x14ac:dyDescent="0.25">
      <c r="E21" s="1" t="s">
        <v>3</v>
      </c>
      <c r="F21" s="1">
        <v>10000</v>
      </c>
      <c r="G21" s="1"/>
      <c r="H21" s="1"/>
      <c r="K21" s="1" t="s">
        <v>12</v>
      </c>
      <c r="L21" s="1">
        <v>6000</v>
      </c>
    </row>
    <row r="22" spans="5:12" x14ac:dyDescent="0.25">
      <c r="E22" s="1" t="s">
        <v>4</v>
      </c>
      <c r="F22" s="1">
        <v>5000</v>
      </c>
      <c r="G22" s="1"/>
      <c r="H22" s="1"/>
      <c r="K22" s="1" t="s">
        <v>13</v>
      </c>
      <c r="L22" s="1">
        <v>20000</v>
      </c>
    </row>
    <row r="23" spans="5:12" x14ac:dyDescent="0.25">
      <c r="E23" s="1" t="s">
        <v>17</v>
      </c>
      <c r="F23" s="1">
        <v>6000</v>
      </c>
      <c r="G23" s="1"/>
      <c r="H23" s="1"/>
      <c r="K23" s="1" t="s">
        <v>14</v>
      </c>
      <c r="L23" s="1">
        <v>20000</v>
      </c>
    </row>
    <row r="24" spans="5:12" x14ac:dyDescent="0.25">
      <c r="E24" s="1" t="s">
        <v>19</v>
      </c>
      <c r="F24" s="1">
        <v>40000</v>
      </c>
      <c r="G24" s="1"/>
      <c r="H24" s="1"/>
      <c r="K24" s="1" t="s">
        <v>15</v>
      </c>
      <c r="L24" s="1">
        <v>6000</v>
      </c>
    </row>
    <row r="25" spans="5:12" x14ac:dyDescent="0.25">
      <c r="E25" s="1" t="s">
        <v>18</v>
      </c>
      <c r="F25" s="1">
        <v>15000</v>
      </c>
      <c r="G25" s="1"/>
      <c r="H25" s="1"/>
      <c r="K25" s="1" t="s">
        <v>29</v>
      </c>
      <c r="L25" s="1">
        <v>15000</v>
      </c>
    </row>
    <row r="26" spans="5:12" x14ac:dyDescent="0.25">
      <c r="E26" s="1" t="s">
        <v>20</v>
      </c>
      <c r="F26" s="1">
        <v>20000</v>
      </c>
      <c r="G26" s="1"/>
      <c r="H26" s="1"/>
    </row>
    <row r="27" spans="5:12" x14ac:dyDescent="0.25">
      <c r="E27" s="1" t="s">
        <v>21</v>
      </c>
      <c r="F27" s="1">
        <v>7000</v>
      </c>
      <c r="G27" s="1"/>
      <c r="H27" s="1"/>
    </row>
    <row r="28" spans="5:12" x14ac:dyDescent="0.25">
      <c r="E28" s="1" t="s">
        <v>22</v>
      </c>
      <c r="F28" s="1">
        <v>9000</v>
      </c>
      <c r="G28" s="1"/>
      <c r="H28" s="1"/>
    </row>
    <row r="32" spans="5:12" x14ac:dyDescent="0.25">
      <c r="E32" s="1" t="s">
        <v>23</v>
      </c>
      <c r="F32" s="1"/>
      <c r="G32" s="1"/>
      <c r="H32" s="1"/>
    </row>
    <row r="33" spans="5:8" x14ac:dyDescent="0.25">
      <c r="E33" s="1" t="s">
        <v>24</v>
      </c>
      <c r="F33" s="1"/>
      <c r="G33" s="1"/>
      <c r="H33" s="1"/>
    </row>
    <row r="34" spans="5:8" x14ac:dyDescent="0.25">
      <c r="E34" s="1" t="s">
        <v>25</v>
      </c>
      <c r="F34" s="1"/>
      <c r="G34" s="1"/>
      <c r="H34" s="1"/>
    </row>
    <row r="35" spans="5:8" x14ac:dyDescent="0.25">
      <c r="E35" s="1" t="s">
        <v>26</v>
      </c>
      <c r="F35" s="1"/>
      <c r="G35" s="1"/>
      <c r="H35" s="1"/>
    </row>
    <row r="36" spans="5:8" x14ac:dyDescent="0.25">
      <c r="E36" s="1" t="s">
        <v>2</v>
      </c>
    </row>
    <row r="37" spans="5:8" x14ac:dyDescent="0.25">
      <c r="E37" s="1" t="s">
        <v>5</v>
      </c>
    </row>
  </sheetData>
  <mergeCells count="5">
    <mergeCell ref="E11:H11"/>
    <mergeCell ref="E12:H12"/>
    <mergeCell ref="E13:H13"/>
    <mergeCell ref="K16:L16"/>
    <mergeCell ref="E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Aulas 5</dc:creator>
  <cp:lastModifiedBy>Office Aulas 5</cp:lastModifiedBy>
  <dcterms:created xsi:type="dcterms:W3CDTF">2026-03-08T13:41:28Z</dcterms:created>
  <dcterms:modified xsi:type="dcterms:W3CDTF">2026-03-08T14:36:32Z</dcterms:modified>
</cp:coreProperties>
</file>